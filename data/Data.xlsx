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ac33cd60952162/Documents/Airfoil CFD - Project 1/"/>
    </mc:Choice>
  </mc:AlternateContent>
  <xr:revisionPtr revIDLastSave="492" documentId="8_{C3D95630-B24A-4D77-97B0-50644558C45D}" xr6:coauthVersionLast="47" xr6:coauthVersionMax="47" xr10:uidLastSave="{84C22FB6-9D76-4E76-A965-A469BFBACE5E}"/>
  <bookViews>
    <workbookView xWindow="-108" yWindow="-108" windowWidth="23256" windowHeight="12456" xr2:uid="{57F4C7C6-6B1D-4D30-867C-826791EE22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1" i="1" l="1"/>
  <c r="O71" i="1"/>
  <c r="O72" i="1"/>
  <c r="O73" i="1"/>
  <c r="O74" i="1"/>
  <c r="O75" i="1"/>
  <c r="O76" i="1"/>
  <c r="O77" i="1"/>
  <c r="O78" i="1"/>
  <c r="O79" i="1"/>
  <c r="O80" i="1"/>
  <c r="O81" i="1"/>
  <c r="O82" i="1"/>
  <c r="O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70" i="1"/>
  <c r="B87" i="1"/>
  <c r="D87" i="1"/>
  <c r="G87" i="1"/>
  <c r="C87" i="1"/>
  <c r="E87" i="1"/>
  <c r="F87" i="1"/>
  <c r="C71" i="1"/>
  <c r="E71" i="1" s="1"/>
  <c r="C72" i="1"/>
  <c r="E72" i="1" s="1"/>
  <c r="C73" i="1"/>
  <c r="E73" i="1" s="1"/>
  <c r="C74" i="1"/>
  <c r="E74" i="1" s="1"/>
  <c r="C75" i="1"/>
  <c r="E75" i="1" s="1"/>
  <c r="C76" i="1"/>
  <c r="E76" i="1" s="1"/>
  <c r="C77" i="1"/>
  <c r="E77" i="1" s="1"/>
  <c r="C78" i="1"/>
  <c r="F78" i="1" s="1"/>
  <c r="C79" i="1"/>
  <c r="F79" i="1" s="1"/>
  <c r="C80" i="1"/>
  <c r="E80" i="1" s="1"/>
  <c r="C81" i="1"/>
  <c r="E81" i="1" s="1"/>
  <c r="C82" i="1"/>
  <c r="E82" i="1" s="1"/>
  <c r="C83" i="1"/>
  <c r="E83" i="1" s="1"/>
  <c r="C84" i="1"/>
  <c r="E84" i="1" s="1"/>
  <c r="C85" i="1"/>
  <c r="E85" i="1" s="1"/>
  <c r="C86" i="1"/>
  <c r="E86" i="1" s="1"/>
  <c r="C88" i="1"/>
  <c r="E88" i="1" s="1"/>
  <c r="C70" i="1"/>
  <c r="F70" i="1" s="1"/>
  <c r="B71" i="1"/>
  <c r="G71" i="1" s="1"/>
  <c r="B72" i="1"/>
  <c r="G72" i="1" s="1"/>
  <c r="B73" i="1"/>
  <c r="G73" i="1" s="1"/>
  <c r="B74" i="1"/>
  <c r="G74" i="1" s="1"/>
  <c r="B75" i="1"/>
  <c r="D75" i="1" s="1"/>
  <c r="B76" i="1"/>
  <c r="G76" i="1" s="1"/>
  <c r="B77" i="1"/>
  <c r="G77" i="1" s="1"/>
  <c r="B78" i="1"/>
  <c r="G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G84" i="1" s="1"/>
  <c r="B85" i="1"/>
  <c r="G85" i="1" s="1"/>
  <c r="B86" i="1"/>
  <c r="D86" i="1" s="1"/>
  <c r="B88" i="1"/>
  <c r="G88" i="1" s="1"/>
  <c r="B70" i="1"/>
  <c r="G70" i="1" s="1"/>
  <c r="H23" i="1"/>
  <c r="B23" i="1"/>
  <c r="M17" i="1"/>
  <c r="M16" i="1"/>
  <c r="J28" i="1"/>
  <c r="I20" i="1"/>
  <c r="I19" i="1"/>
  <c r="D21" i="1"/>
  <c r="F21" i="1" s="1"/>
  <c r="D20" i="1"/>
  <c r="F20" i="1" s="1"/>
  <c r="D19" i="1"/>
  <c r="F19" i="1" s="1"/>
  <c r="B21" i="1"/>
  <c r="B20" i="1"/>
  <c r="B19" i="1"/>
  <c r="G17" i="1"/>
  <c r="F17" i="1"/>
  <c r="G16" i="1"/>
  <c r="F16" i="1"/>
  <c r="H12" i="1"/>
  <c r="I12" i="1" s="1"/>
  <c r="G12" i="1"/>
  <c r="J12" i="1" s="1"/>
  <c r="B2" i="1"/>
  <c r="C8" i="1" s="1"/>
  <c r="F12" i="1"/>
  <c r="B68" i="1" s="1"/>
  <c r="F88" i="1" l="1"/>
  <c r="F84" i="1"/>
  <c r="F77" i="1"/>
  <c r="F86" i="1"/>
  <c r="F76" i="1"/>
  <c r="F75" i="1"/>
  <c r="F74" i="1"/>
  <c r="D78" i="1"/>
  <c r="G83" i="1"/>
  <c r="E70" i="1"/>
  <c r="G82" i="1"/>
  <c r="F72" i="1"/>
  <c r="G81" i="1"/>
  <c r="G80" i="1"/>
  <c r="G79" i="1"/>
  <c r="D85" i="1"/>
  <c r="D73" i="1"/>
  <c r="E78" i="1"/>
  <c r="F85" i="1"/>
  <c r="F73" i="1"/>
  <c r="D77" i="1"/>
  <c r="D76" i="1"/>
  <c r="D88" i="1"/>
  <c r="D74" i="1"/>
  <c r="D84" i="1"/>
  <c r="D72" i="1"/>
  <c r="F83" i="1"/>
  <c r="F71" i="1"/>
  <c r="F82" i="1"/>
  <c r="G75" i="1"/>
  <c r="F81" i="1"/>
  <c r="G86" i="1"/>
  <c r="D70" i="1"/>
  <c r="F80" i="1"/>
  <c r="E79" i="1"/>
  <c r="D71" i="1"/>
  <c r="D6" i="1"/>
  <c r="B6" i="1"/>
  <c r="E6" i="1"/>
  <c r="C6" i="1"/>
  <c r="B8" i="1"/>
  <c r="E8" i="1"/>
  <c r="D8" i="1"/>
  <c r="J17" i="1"/>
  <c r="K17" i="1" s="1"/>
  <c r="J16" i="1"/>
  <c r="L16" i="1" s="1"/>
  <c r="H17" i="1"/>
  <c r="H16" i="1"/>
  <c r="L12" i="1"/>
  <c r="K12" i="1"/>
  <c r="K16" i="1" l="1"/>
  <c r="N16" i="1" s="1"/>
  <c r="O16" i="1"/>
  <c r="P16" i="1" s="1"/>
  <c r="O17" i="1"/>
  <c r="P17" i="1" s="1"/>
  <c r="L17" i="1"/>
  <c r="Q17" i="1"/>
  <c r="N17" i="1"/>
  <c r="I22" i="1"/>
  <c r="I17" i="1"/>
  <c r="I16" i="1"/>
  <c r="B22" i="1" l="1"/>
  <c r="Q16" i="1"/>
</calcChain>
</file>

<file path=xl/sharedStrings.xml><?xml version="1.0" encoding="utf-8"?>
<sst xmlns="http://schemas.openxmlformats.org/spreadsheetml/2006/main" count="75" uniqueCount="67">
  <si>
    <t xml:space="preserve">r </t>
  </si>
  <si>
    <t>ES #1</t>
  </si>
  <si>
    <t>ES #2</t>
  </si>
  <si>
    <t>ES #3</t>
  </si>
  <si>
    <t xml:space="preserve">ES #4 </t>
  </si>
  <si>
    <t># Elements</t>
  </si>
  <si>
    <t>Coarse</t>
  </si>
  <si>
    <t>Medium</t>
  </si>
  <si>
    <t>Fine</t>
  </si>
  <si>
    <t>L (m)</t>
  </si>
  <si>
    <t>cos(α)</t>
  </si>
  <si>
    <t>sin(α)</t>
  </si>
  <si>
    <t>α (°)</t>
  </si>
  <si>
    <t xml:space="preserve">Re </t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</si>
  <si>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(x)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</si>
  <si>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(y)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</si>
  <si>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(y)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</si>
  <si>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(x)</t>
    </r>
  </si>
  <si>
    <r>
      <t>mu (kgm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s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</t>
    </r>
  </si>
  <si>
    <r>
      <t>rho (kgm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</si>
  <si>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</si>
  <si>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D</t>
    </r>
  </si>
  <si>
    <t>Experimental Data</t>
  </si>
  <si>
    <r>
      <t>ε</t>
    </r>
    <r>
      <rPr>
        <vertAlign val="subscript"/>
        <sz val="11"/>
        <color theme="1"/>
        <rFont val="Aptos Narrow"/>
        <family val="2"/>
        <scheme val="minor"/>
      </rPr>
      <t>32</t>
    </r>
  </si>
  <si>
    <r>
      <t>ε</t>
    </r>
    <r>
      <rPr>
        <vertAlign val="subscript"/>
        <sz val="11"/>
        <color theme="1"/>
        <rFont val="Aptos Narrow"/>
        <family val="2"/>
        <scheme val="minor"/>
      </rPr>
      <t>21</t>
    </r>
  </si>
  <si>
    <r>
      <t>ε</t>
    </r>
    <r>
      <rPr>
        <vertAlign val="subscript"/>
        <sz val="11"/>
        <color theme="1"/>
        <rFont val="Aptos Narrow"/>
        <family val="2"/>
        <scheme val="minor"/>
      </rPr>
      <t>21</t>
    </r>
    <r>
      <rPr>
        <sz val="11"/>
        <color theme="1"/>
        <rFont val="Aptos Narrow"/>
        <family val="2"/>
        <scheme val="minor"/>
      </rPr>
      <t>/ε</t>
    </r>
    <r>
      <rPr>
        <vertAlign val="subscript"/>
        <sz val="11"/>
        <color theme="1"/>
        <rFont val="Aptos Narrow"/>
        <family val="2"/>
        <scheme val="minor"/>
      </rPr>
      <t>32</t>
    </r>
  </si>
  <si>
    <t>Behaviour</t>
  </si>
  <si>
    <t xml:space="preserve">p </t>
  </si>
  <si>
    <t>% error to exp</t>
  </si>
  <si>
    <r>
      <t>φ</t>
    </r>
    <r>
      <rPr>
        <vertAlign val="subscript"/>
        <sz val="11"/>
        <color theme="1"/>
        <rFont val="Aptos Narrow"/>
        <family val="2"/>
        <scheme val="minor"/>
      </rPr>
      <t>ext 21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</si>
  <si>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a 21</t>
    </r>
  </si>
  <si>
    <r>
      <t>e</t>
    </r>
    <r>
      <rPr>
        <vertAlign val="subscript"/>
        <sz val="11"/>
        <color theme="1"/>
        <rFont val="Aptos Narrow"/>
        <family val="2"/>
        <scheme val="minor"/>
      </rPr>
      <t>ext 21</t>
    </r>
  </si>
  <si>
    <r>
      <t xml:space="preserve">GCI </t>
    </r>
    <r>
      <rPr>
        <vertAlign val="subscript"/>
        <sz val="11"/>
        <color theme="1"/>
        <rFont val="Aptos Narrow"/>
        <family val="2"/>
        <scheme val="minor"/>
      </rPr>
      <t>fine 21</t>
    </r>
  </si>
  <si>
    <r>
      <t>GCI</t>
    </r>
    <r>
      <rPr>
        <vertAlign val="subscript"/>
        <sz val="11"/>
        <color theme="1"/>
        <rFont val="Aptos Narrow"/>
        <family val="2"/>
        <scheme val="minor"/>
      </rPr>
      <t xml:space="preserve"> fine 21</t>
    </r>
    <r>
      <rPr>
        <sz val="11"/>
        <color theme="1"/>
        <rFont val="Aptos Narrow"/>
        <family val="2"/>
        <scheme val="minor"/>
      </rPr>
      <t xml:space="preserve"> (%)</t>
    </r>
  </si>
  <si>
    <r>
      <t>φ</t>
    </r>
    <r>
      <rPr>
        <vertAlign val="subscript"/>
        <sz val="11"/>
        <color theme="1"/>
        <rFont val="Aptos Narrow"/>
        <family val="2"/>
        <scheme val="minor"/>
      </rPr>
      <t>ext 32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</si>
  <si>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Medium (φ2)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</si>
  <si>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Fine (φ1)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</si>
  <si>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Coarse (φ3)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</si>
  <si>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 xml:space="preserve"> ext (φ</t>
    </r>
    <r>
      <rPr>
        <vertAlign val="subscript"/>
        <sz val="11"/>
        <color theme="1"/>
        <rFont val="Aptos Narrow"/>
        <family val="2"/>
        <scheme val="minor"/>
      </rPr>
      <t>ext21</t>
    </r>
    <r>
      <rPr>
        <sz val="11"/>
        <color theme="1"/>
        <rFont val="Aptos Narrow"/>
        <family val="2"/>
        <scheme val="minor"/>
      </rPr>
      <t>)</t>
    </r>
  </si>
  <si>
    <t>Number of Cells, N</t>
  </si>
  <si>
    <t>ANSYS Fluent Coarse, φ3</t>
  </si>
  <si>
    <t>ANSYS Fluent Medium, φ2</t>
  </si>
  <si>
    <t>ANSYS Fluent Fine, φ1</t>
  </si>
  <si>
    <t>∞</t>
  </si>
  <si>
    <t>1/N (∝h)</t>
  </si>
  <si>
    <r>
      <t>C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Coarse (φ3)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</si>
  <si>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Medium (φ2)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</si>
  <si>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D</t>
    </r>
    <r>
      <rPr>
        <sz val="11"/>
        <color theme="1"/>
        <rFont val="Aptos Narrow"/>
        <family val="2"/>
        <scheme val="minor"/>
      </rPr>
      <t xml:space="preserve"> Fine (φ1)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</si>
  <si>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 xml:space="preserve">D </t>
    </r>
    <r>
      <rPr>
        <sz val="11"/>
        <color theme="1"/>
        <rFont val="Aptos Narrow"/>
        <family val="2"/>
        <scheme val="minor"/>
      </rPr>
      <t>ext (φ</t>
    </r>
    <r>
      <rPr>
        <vertAlign val="subscript"/>
        <sz val="11"/>
        <color theme="1"/>
        <rFont val="Aptos Narrow"/>
        <family val="2"/>
        <scheme val="minor"/>
      </rPr>
      <t>ext21</t>
    </r>
    <r>
      <rPr>
        <sz val="11"/>
        <color theme="1"/>
        <rFont val="Aptos Narrow"/>
        <family val="2"/>
        <scheme val="minor"/>
      </rPr>
      <t>)</t>
    </r>
  </si>
  <si>
    <t>Angle of Attack (°)</t>
  </si>
  <si>
    <t>X component</t>
  </si>
  <si>
    <t>Y component</t>
  </si>
  <si>
    <t>Drag Coefficient</t>
  </si>
  <si>
    <t>Lift Coefficient</t>
  </si>
  <si>
    <t xml:space="preserve">Y </t>
  </si>
  <si>
    <t>X</t>
  </si>
  <si>
    <t>Y</t>
  </si>
  <si>
    <t>Refinement Ratio</t>
  </si>
  <si>
    <t>Mesh Properties</t>
  </si>
  <si>
    <t>Mesh Independence Study Simulation Setup</t>
  </si>
  <si>
    <t>Mesh Independence Study Results</t>
  </si>
  <si>
    <t>2D Steady-State RANS Simulation at Varying Angles of Attack</t>
  </si>
  <si>
    <r>
      <t>U (ms</t>
    </r>
    <r>
      <rPr>
        <vertAlign val="superscript"/>
        <sz val="11"/>
        <color theme="1"/>
        <rFont val="Aptos Narrow"/>
        <family val="2"/>
        <scheme val="minor"/>
      </rPr>
      <t>-1</t>
    </r>
    <r>
      <rPr>
        <sz val="11"/>
        <color theme="1"/>
        <rFont val="Aptos Narrow"/>
        <family val="2"/>
        <scheme val="minor"/>
      </rPr>
      <t>)</t>
    </r>
  </si>
  <si>
    <t>Simulation Results</t>
  </si>
  <si>
    <t>avg</t>
  </si>
  <si>
    <t>Experimental Results</t>
  </si>
  <si>
    <r>
      <t>C</t>
    </r>
    <r>
      <rPr>
        <vertAlign val="subscript"/>
        <sz val="11"/>
        <color theme="1"/>
        <rFont val="Aptos Narrow"/>
        <family val="2"/>
        <scheme val="minor"/>
      </rPr>
      <t>l</t>
    </r>
    <r>
      <rPr>
        <sz val="11"/>
        <color theme="1"/>
        <rFont val="Aptos Narrow"/>
        <family val="2"/>
        <scheme val="minor"/>
      </rPr>
      <t>/C</t>
    </r>
    <r>
      <rPr>
        <vertAlign val="subscript"/>
        <sz val="11"/>
        <color theme="1"/>
        <rFont val="Aptos Narrow"/>
        <family val="2"/>
        <scheme val="minor"/>
      </rPr>
      <t>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</si>
</sst>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0E+00"/>
    <numFmt numFmtId="166" formatCode="0.00000000"/>
    <numFmt numFmtId="167" formatCode="0.0000000"/>
  </numFmts>
  <fonts count="3" x14ac:knownFonts="1"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" fontId="0" fillId="0" borderId="1" xfId="0" applyNumberFormat="1" applyBorder="1"/>
    <xf numFmtId="1" fontId="0" fillId="0" borderId="2" xfId="0" applyNumberFormat="1" applyBorder="1"/>
    <xf numFmtId="11" fontId="0" fillId="0" borderId="1" xfId="0" applyNumberFormat="1" applyBorder="1"/>
    <xf numFmtId="164" fontId="0" fillId="0" borderId="1" xfId="0" applyNumberFormat="1" applyBorder="1"/>
    <xf numFmtId="2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right"/>
    </xf>
    <xf numFmtId="1" fontId="0" fillId="0" borderId="0" xfId="0" applyNumberFormat="1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3" fontId="0" fillId="0" borderId="0" xfId="0" applyNumberFormat="1"/>
    <xf numFmtId="166" fontId="0" fillId="0" borderId="1" xfId="0" applyNumberFormat="1" applyBorder="1"/>
    <xf numFmtId="167" fontId="0" fillId="0" borderId="1" xfId="0" applyNumberFormat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CFD Lift Coefficient</a:t>
            </a:r>
            <a:r>
              <a:rPr lang="en-US" baseline="0"/>
              <a:t> vs Experimental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CFD Lift Coefficient vs Mesh Size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Coarse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36A9-4DEE-8FD8-7C40684EA0F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Medium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36A9-4DEE-8FD8-7C40684EA0F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Fine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36A9-4DEE-8FD8-7C40684EA0F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Extrapolated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36A9-4DEE-8FD8-7C40684EA0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Sheet1!$F$19:$F$22</c:f>
              <c:numCache>
                <c:formatCode>0.00E+00</c:formatCode>
                <c:ptCount val="4"/>
                <c:pt idx="0">
                  <c:v>9.9818330638238412E-6</c:v>
                </c:pt>
                <c:pt idx="1">
                  <c:v>5.0000000000000004E-6</c:v>
                </c:pt>
                <c:pt idx="2">
                  <c:v>2.4998750062496877E-6</c:v>
                </c:pt>
                <c:pt idx="3">
                  <c:v>0</c:v>
                </c:pt>
              </c:numCache>
            </c:numRef>
          </c:xVal>
          <c:yVal>
            <c:numRef>
              <c:f>Sheet1!$B$19:$B$22</c:f>
              <c:numCache>
                <c:formatCode>General</c:formatCode>
                <c:ptCount val="4"/>
                <c:pt idx="0">
                  <c:v>1.5120123000000001</c:v>
                </c:pt>
                <c:pt idx="1">
                  <c:v>1.5372583</c:v>
                </c:pt>
                <c:pt idx="2">
                  <c:v>1.5435918</c:v>
                </c:pt>
                <c:pt idx="3">
                  <c:v>1.5457127899405154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94D-40B1-9D4E-70E2FE0B733D}"/>
            </c:ext>
          </c:extLst>
        </c:ser>
        <c:ser>
          <c:idx val="1"/>
          <c:order val="1"/>
          <c:tx>
            <c:v>Experimental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Sheet1!$C$23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Sheet1!$B$23</c:f>
              <c:numCache>
                <c:formatCode>General</c:formatCode>
                <c:ptCount val="1"/>
                <c:pt idx="0">
                  <c:v>1.52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494D-40B1-9D4E-70E2FE0B733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307676255"/>
        <c:axId val="307676735"/>
      </c:scatterChart>
      <c:valAx>
        <c:axId val="30767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76735"/>
        <c:crosses val="autoZero"/>
        <c:crossBetween val="midCat"/>
      </c:valAx>
      <c:valAx>
        <c:axId val="30767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 Coefficient</a:t>
                </a:r>
              </a:p>
            </c:rich>
          </c:tx>
          <c:layout>
            <c:manualLayout>
              <c:xMode val="edge"/>
              <c:yMode val="edge"/>
              <c:x val="2.2826797385620917E-2"/>
              <c:y val="0.371423888888888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762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CFD Lift Coefficient vs Mesh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CFD Lift Coefficient vs Mesh Size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Sheet1!$F$19:$F$22</c:f>
              <c:numCache>
                <c:formatCode>0.00E+00</c:formatCode>
                <c:ptCount val="4"/>
                <c:pt idx="0">
                  <c:v>9.9818330638238412E-6</c:v>
                </c:pt>
                <c:pt idx="1">
                  <c:v>5.0000000000000004E-6</c:v>
                </c:pt>
                <c:pt idx="2">
                  <c:v>2.4998750062496877E-6</c:v>
                </c:pt>
                <c:pt idx="3">
                  <c:v>0</c:v>
                </c:pt>
              </c:numCache>
            </c:numRef>
          </c:xVal>
          <c:yVal>
            <c:numRef>
              <c:f>Sheet1!$B$19:$B$22</c:f>
              <c:numCache>
                <c:formatCode>General</c:formatCode>
                <c:ptCount val="4"/>
                <c:pt idx="0">
                  <c:v>1.5120123000000001</c:v>
                </c:pt>
                <c:pt idx="1">
                  <c:v>1.5372583</c:v>
                </c:pt>
                <c:pt idx="2">
                  <c:v>1.5435918</c:v>
                </c:pt>
                <c:pt idx="3">
                  <c:v>1.5457127899405154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F9-45AF-B2FB-88F972A65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7676255"/>
        <c:axId val="307676735"/>
      </c:scatterChart>
      <c:valAx>
        <c:axId val="307676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</a:t>
                </a:r>
                <a:r>
                  <a:rPr lang="en-US" baseline="0"/>
                  <a:t> Size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76735"/>
        <c:crosses val="autoZero"/>
        <c:crossBetween val="midCat"/>
      </c:valAx>
      <c:valAx>
        <c:axId val="30767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CFD Lift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7676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CFD Drag Coefficient vs Mesh 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CFD Drag Coefficient vs Mesh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Sheet1!$F$19:$F$22</c:f>
              <c:numCache>
                <c:formatCode>0.00E+00</c:formatCode>
                <c:ptCount val="4"/>
                <c:pt idx="0">
                  <c:v>9.9818330638238412E-6</c:v>
                </c:pt>
                <c:pt idx="1">
                  <c:v>5.0000000000000004E-6</c:v>
                </c:pt>
                <c:pt idx="2">
                  <c:v>2.4998750062496877E-6</c:v>
                </c:pt>
                <c:pt idx="3">
                  <c:v>0</c:v>
                </c:pt>
              </c:numCache>
            </c:numRef>
          </c:xVal>
          <c:yVal>
            <c:numRef>
              <c:f>Sheet1!$I$19:$I$22</c:f>
              <c:numCache>
                <c:formatCode>General</c:formatCode>
                <c:ptCount val="4"/>
                <c:pt idx="0">
                  <c:v>2.8640609000000001E-2</c:v>
                </c:pt>
                <c:pt idx="1">
                  <c:v>2.6844513E-2</c:v>
                </c:pt>
                <c:pt idx="2">
                  <c:v>2.6339863000000002E-2</c:v>
                </c:pt>
                <c:pt idx="3">
                  <c:v>2.6142664183711906E-2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18-455E-82C2-D1CD39235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933919"/>
        <c:axId val="1081934879"/>
      </c:scatterChart>
      <c:valAx>
        <c:axId val="108193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34879"/>
        <c:crosses val="autoZero"/>
        <c:crossBetween val="midCat"/>
      </c:valAx>
      <c:valAx>
        <c:axId val="108193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CFD Drag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3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CFD Drag Coefficient</a:t>
            </a:r>
            <a:r>
              <a:rPr lang="en-US" baseline="0"/>
              <a:t> vs Experimental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CFD Drag Coefficient vs Mesh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Coarse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CFCC-404A-9D0A-EECD58A8E05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Medium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CFCC-404A-9D0A-EECD58A8E05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Fine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CFCC-404A-9D0A-EECD58A8E05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Extrapolated</a:t>
                    </a:r>
                  </a:p>
                </c:rich>
              </c:tx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CFCC-404A-9D0A-EECD58A8E0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Sheet1!$F$19:$F$22</c:f>
              <c:numCache>
                <c:formatCode>0.00E+00</c:formatCode>
                <c:ptCount val="4"/>
                <c:pt idx="0">
                  <c:v>9.9818330638238412E-6</c:v>
                </c:pt>
                <c:pt idx="1">
                  <c:v>5.0000000000000004E-6</c:v>
                </c:pt>
                <c:pt idx="2">
                  <c:v>2.4998750062496877E-6</c:v>
                </c:pt>
                <c:pt idx="3">
                  <c:v>0</c:v>
                </c:pt>
              </c:numCache>
            </c:numRef>
          </c:xVal>
          <c:yVal>
            <c:numRef>
              <c:f>Sheet1!$I$19:$I$22</c:f>
              <c:numCache>
                <c:formatCode>General</c:formatCode>
                <c:ptCount val="4"/>
                <c:pt idx="0">
                  <c:v>2.8640609000000001E-2</c:v>
                </c:pt>
                <c:pt idx="1">
                  <c:v>2.6844513E-2</c:v>
                </c:pt>
                <c:pt idx="2">
                  <c:v>2.6339863000000002E-2</c:v>
                </c:pt>
                <c:pt idx="3">
                  <c:v>2.6142664183711906E-2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3B-4A76-B807-58D9E154E45B}"/>
            </c:ext>
          </c:extLst>
        </c:ser>
        <c:ser>
          <c:idx val="1"/>
          <c:order val="1"/>
          <c:tx>
            <c:v>Experimental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FCC-404A-9D0A-EECD58A8E0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Sheet1!$I$23</c:f>
              <c:numCache>
                <c:formatCode>General</c:formatCode>
                <c:ptCount val="1"/>
                <c:pt idx="0">
                  <c:v>0</c:v>
                </c:pt>
              </c:numCache>
            </c:numRef>
          </c:xVal>
          <c:yVal>
            <c:numRef>
              <c:f>Sheet1!$H$23</c:f>
              <c:numCache>
                <c:formatCode>General</c:formatCode>
                <c:ptCount val="1"/>
                <c:pt idx="0">
                  <c:v>2.3300000000000001E-2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3B-4A76-B807-58D9E154E45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81933919"/>
        <c:axId val="1081934879"/>
      </c:scatterChart>
      <c:valAx>
        <c:axId val="108193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Cell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34879"/>
        <c:crosses val="autoZero"/>
        <c:crossBetween val="midCat"/>
      </c:valAx>
      <c:valAx>
        <c:axId val="1081934879"/>
        <c:scaling>
          <c:orientation val="minMax"/>
          <c:min val="2.2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19339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 Coefficient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Sheet1!$A$70:$A$88</c:f>
              <c:numCache>
                <c:formatCode>General</c:formatCode>
                <c:ptCount val="19"/>
                <c:pt idx="0">
                  <c:v>-8</c:v>
                </c:pt>
                <c:pt idx="1">
                  <c:v>-6</c:v>
                </c:pt>
                <c:pt idx="2">
                  <c:v>-4</c:v>
                </c:pt>
                <c:pt idx="3">
                  <c:v>-2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Sheet1!$J$70:$J$88</c:f>
              <c:numCache>
                <c:formatCode>0.0000000</c:formatCode>
                <c:ptCount val="19"/>
                <c:pt idx="0">
                  <c:v>-0.63811375000000004</c:v>
                </c:pt>
                <c:pt idx="1">
                  <c:v>-0.42846676</c:v>
                </c:pt>
                <c:pt idx="2">
                  <c:v>-0.21543794999999999</c:v>
                </c:pt>
                <c:pt idx="3">
                  <c:v>-3.2498245999999998E-4</c:v>
                </c:pt>
                <c:pt idx="4">
                  <c:v>0.21393602</c:v>
                </c:pt>
                <c:pt idx="5">
                  <c:v>0.42827723000000001</c:v>
                </c:pt>
                <c:pt idx="6">
                  <c:v>0.64083199000000002</c:v>
                </c:pt>
                <c:pt idx="7">
                  <c:v>0.84866032999999996</c:v>
                </c:pt>
                <c:pt idx="8">
                  <c:v>1.0491117999999999</c:v>
                </c:pt>
                <c:pt idx="9">
                  <c:v>1.2367771000000001</c:v>
                </c:pt>
                <c:pt idx="10">
                  <c:v>1.4056329000000001</c:v>
                </c:pt>
                <c:pt idx="11">
                  <c:v>1.479673</c:v>
                </c:pt>
                <c:pt idx="12">
                  <c:v>1.5435918</c:v>
                </c:pt>
                <c:pt idx="13">
                  <c:v>1.5952709</c:v>
                </c:pt>
                <c:pt idx="14">
                  <c:v>1.6303877</c:v>
                </c:pt>
                <c:pt idx="15">
                  <c:v>1.6428282000000001</c:v>
                </c:pt>
                <c:pt idx="16">
                  <c:v>1.6233462000000001</c:v>
                </c:pt>
                <c:pt idx="17">
                  <c:v>1.5580000000000001</c:v>
                </c:pt>
                <c:pt idx="18">
                  <c:v>1.35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DE-402F-AF37-ECC836E09E47}"/>
            </c:ext>
          </c:extLst>
        </c:ser>
        <c:ser>
          <c:idx val="1"/>
          <c:order val="1"/>
          <c:tx>
            <c:v>Experimental 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Sheet1!$A$70:$A$88</c:f>
              <c:numCache>
                <c:formatCode>General</c:formatCode>
                <c:ptCount val="19"/>
                <c:pt idx="0">
                  <c:v>-8</c:v>
                </c:pt>
                <c:pt idx="1">
                  <c:v>-6</c:v>
                </c:pt>
                <c:pt idx="2">
                  <c:v>-4</c:v>
                </c:pt>
                <c:pt idx="3">
                  <c:v>-2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Sheet1!$N$70:$N$88</c:f>
              <c:numCache>
                <c:formatCode>General</c:formatCode>
                <c:ptCount val="19"/>
                <c:pt idx="0">
                  <c:v>-0.6</c:v>
                </c:pt>
                <c:pt idx="1">
                  <c:v>-0.38</c:v>
                </c:pt>
                <c:pt idx="2">
                  <c:v>-0.18</c:v>
                </c:pt>
                <c:pt idx="3">
                  <c:v>0.04</c:v>
                </c:pt>
                <c:pt idx="4">
                  <c:v>0.25</c:v>
                </c:pt>
                <c:pt idx="5">
                  <c:v>0.46</c:v>
                </c:pt>
                <c:pt idx="6">
                  <c:v>0.65</c:v>
                </c:pt>
                <c:pt idx="7">
                  <c:v>0.87</c:v>
                </c:pt>
                <c:pt idx="8">
                  <c:v>1.05</c:v>
                </c:pt>
                <c:pt idx="9">
                  <c:v>1.24</c:v>
                </c:pt>
                <c:pt idx="10">
                  <c:v>1.4</c:v>
                </c:pt>
                <c:pt idx="11">
                  <c:v>1.46</c:v>
                </c:pt>
                <c:pt idx="12">
                  <c:v>1.52</c:v>
                </c:pt>
                <c:pt idx="13">
                  <c:v>1.57</c:v>
                </c:pt>
                <c:pt idx="14">
                  <c:v>1.55</c:v>
                </c:pt>
                <c:pt idx="15">
                  <c:v>1.4</c:v>
                </c:pt>
                <c:pt idx="16">
                  <c:v>1.27</c:v>
                </c:pt>
                <c:pt idx="17">
                  <c:v>1.18</c:v>
                </c:pt>
                <c:pt idx="18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5EB-4128-85A5-F8BE629F2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7456415"/>
        <c:axId val="1087443455"/>
      </c:scatterChart>
      <c:valAx>
        <c:axId val="1087456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43455"/>
        <c:crosses val="autoZero"/>
        <c:crossBetween val="midCat"/>
        <c:majorUnit val="2"/>
      </c:valAx>
      <c:valAx>
        <c:axId val="108744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</a:t>
                </a:r>
                <a:r>
                  <a:rPr lang="en-US" baseline="0"/>
                  <a:t> Coefficient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456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 Coefficient vs Lift Coefficient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Sheet1!$J$70:$J$82</c:f>
              <c:numCache>
                <c:formatCode>0.0000000</c:formatCode>
                <c:ptCount val="13"/>
                <c:pt idx="0">
                  <c:v>-0.63811375000000004</c:v>
                </c:pt>
                <c:pt idx="1">
                  <c:v>-0.42846676</c:v>
                </c:pt>
                <c:pt idx="2">
                  <c:v>-0.21543794999999999</c:v>
                </c:pt>
                <c:pt idx="3">
                  <c:v>-3.2498245999999998E-4</c:v>
                </c:pt>
                <c:pt idx="4">
                  <c:v>0.21393602</c:v>
                </c:pt>
                <c:pt idx="5">
                  <c:v>0.42827723000000001</c:v>
                </c:pt>
                <c:pt idx="6">
                  <c:v>0.64083199000000002</c:v>
                </c:pt>
                <c:pt idx="7">
                  <c:v>0.84866032999999996</c:v>
                </c:pt>
                <c:pt idx="8">
                  <c:v>1.0491117999999999</c:v>
                </c:pt>
                <c:pt idx="9">
                  <c:v>1.2367771000000001</c:v>
                </c:pt>
                <c:pt idx="10">
                  <c:v>1.4056329000000001</c:v>
                </c:pt>
                <c:pt idx="11">
                  <c:v>1.479673</c:v>
                </c:pt>
                <c:pt idx="12">
                  <c:v>1.5435918</c:v>
                </c:pt>
              </c:numCache>
            </c:numRef>
          </c:xVal>
          <c:yVal>
            <c:numRef>
              <c:f>Sheet1!$I$70:$I$82</c:f>
              <c:numCache>
                <c:formatCode>General</c:formatCode>
                <c:ptCount val="13"/>
                <c:pt idx="0">
                  <c:v>1.2128201E-2</c:v>
                </c:pt>
                <c:pt idx="1">
                  <c:v>1.0537240999999999E-2</c:v>
                </c:pt>
                <c:pt idx="2">
                  <c:v>9.5945478000000004E-3</c:v>
                </c:pt>
                <c:pt idx="3">
                  <c:v>9.1926822999999994E-3</c:v>
                </c:pt>
                <c:pt idx="4">
                  <c:v>9.2820843E-3</c:v>
                </c:pt>
                <c:pt idx="5">
                  <c:v>9.8183122000000001E-3</c:v>
                </c:pt>
                <c:pt idx="6">
                  <c:v>1.0811717E-2</c:v>
                </c:pt>
                <c:pt idx="7">
                  <c:v>1.2282055E-2</c:v>
                </c:pt>
                <c:pt idx="8">
                  <c:v>1.4316318999999999E-2</c:v>
                </c:pt>
                <c:pt idx="9">
                  <c:v>1.7057789E-2</c:v>
                </c:pt>
                <c:pt idx="10">
                  <c:v>2.0829596999999998E-2</c:v>
                </c:pt>
                <c:pt idx="11">
                  <c:v>2.3299212E-2</c:v>
                </c:pt>
                <c:pt idx="12">
                  <c:v>2.6339863000000002E-2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27-440D-BE33-63842AF3F031}"/>
            </c:ext>
          </c:extLst>
        </c:ser>
        <c:ser>
          <c:idx val="1"/>
          <c:order val="1"/>
          <c:tx>
            <c:v>Experimental 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Sheet1!$N$70:$N$82</c:f>
              <c:numCache>
                <c:formatCode>General</c:formatCode>
                <c:ptCount val="13"/>
                <c:pt idx="0">
                  <c:v>-0.6</c:v>
                </c:pt>
                <c:pt idx="1">
                  <c:v>-0.38</c:v>
                </c:pt>
                <c:pt idx="2">
                  <c:v>-0.18</c:v>
                </c:pt>
                <c:pt idx="3">
                  <c:v>0.04</c:v>
                </c:pt>
                <c:pt idx="4">
                  <c:v>0.25</c:v>
                </c:pt>
                <c:pt idx="5">
                  <c:v>0.46</c:v>
                </c:pt>
                <c:pt idx="6">
                  <c:v>0.65</c:v>
                </c:pt>
                <c:pt idx="7">
                  <c:v>0.87</c:v>
                </c:pt>
                <c:pt idx="8">
                  <c:v>1.05</c:v>
                </c:pt>
                <c:pt idx="9">
                  <c:v>1.24</c:v>
                </c:pt>
                <c:pt idx="10">
                  <c:v>1.4</c:v>
                </c:pt>
                <c:pt idx="11">
                  <c:v>1.46</c:v>
                </c:pt>
                <c:pt idx="12">
                  <c:v>1.52</c:v>
                </c:pt>
              </c:numCache>
            </c:numRef>
          </c:xVal>
          <c:yVal>
            <c:numRef>
              <c:f>Sheet1!$M$70:$M$82</c:f>
              <c:numCache>
                <c:formatCode>General</c:formatCode>
                <c:ptCount val="13"/>
                <c:pt idx="0">
                  <c:v>9.7999999999999997E-3</c:v>
                </c:pt>
                <c:pt idx="1">
                  <c:v>8.2000000000000007E-3</c:v>
                </c:pt>
                <c:pt idx="2">
                  <c:v>7.4000000000000003E-3</c:v>
                </c:pt>
                <c:pt idx="3">
                  <c:v>6.7999999999999996E-3</c:v>
                </c:pt>
                <c:pt idx="4">
                  <c:v>6.6E-3</c:v>
                </c:pt>
                <c:pt idx="5">
                  <c:v>6.6E-3</c:v>
                </c:pt>
                <c:pt idx="6">
                  <c:v>6.7000000000000002E-3</c:v>
                </c:pt>
                <c:pt idx="7">
                  <c:v>9.4000000000000004E-3</c:v>
                </c:pt>
                <c:pt idx="8">
                  <c:v>1.15E-2</c:v>
                </c:pt>
                <c:pt idx="9">
                  <c:v>1.3599999999999999E-2</c:v>
                </c:pt>
                <c:pt idx="10">
                  <c:v>1.7000000000000001E-2</c:v>
                </c:pt>
                <c:pt idx="11">
                  <c:v>1.9599999999999999E-2</c:v>
                </c:pt>
                <c:pt idx="12">
                  <c:v>2.3300000000000001E-2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27-440D-BE33-63842AF3F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694080"/>
        <c:axId val="1262726640"/>
      </c:scatterChart>
      <c:valAx>
        <c:axId val="157169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2726640"/>
        <c:crosses val="autoZero"/>
        <c:crossBetween val="midCat"/>
      </c:valAx>
      <c:valAx>
        <c:axId val="126272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6940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Drag Coefficient</a:t>
            </a:r>
            <a:r>
              <a:rPr lang="en-US" baseline="0"/>
              <a:t> vs AoA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Sheet1!$A$70:$A$88</c:f>
              <c:numCache>
                <c:formatCode>General</c:formatCode>
                <c:ptCount val="19"/>
                <c:pt idx="0">
                  <c:v>-8</c:v>
                </c:pt>
                <c:pt idx="1">
                  <c:v>-6</c:v>
                </c:pt>
                <c:pt idx="2">
                  <c:v>-4</c:v>
                </c:pt>
                <c:pt idx="3">
                  <c:v>-2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Sheet1!$I$70:$I$88</c:f>
              <c:numCache>
                <c:formatCode>General</c:formatCode>
                <c:ptCount val="19"/>
                <c:pt idx="0">
                  <c:v>1.2128201E-2</c:v>
                </c:pt>
                <c:pt idx="1">
                  <c:v>1.0537240999999999E-2</c:v>
                </c:pt>
                <c:pt idx="2">
                  <c:v>9.5945478000000004E-3</c:v>
                </c:pt>
                <c:pt idx="3">
                  <c:v>9.1926822999999994E-3</c:v>
                </c:pt>
                <c:pt idx="4">
                  <c:v>9.2820843E-3</c:v>
                </c:pt>
                <c:pt idx="5">
                  <c:v>9.8183122000000001E-3</c:v>
                </c:pt>
                <c:pt idx="6">
                  <c:v>1.0811717E-2</c:v>
                </c:pt>
                <c:pt idx="7">
                  <c:v>1.2282055E-2</c:v>
                </c:pt>
                <c:pt idx="8">
                  <c:v>1.4316318999999999E-2</c:v>
                </c:pt>
                <c:pt idx="9">
                  <c:v>1.7057789E-2</c:v>
                </c:pt>
                <c:pt idx="10">
                  <c:v>2.0829596999999998E-2</c:v>
                </c:pt>
                <c:pt idx="11">
                  <c:v>2.3299212E-2</c:v>
                </c:pt>
                <c:pt idx="12">
                  <c:v>2.6339863000000002E-2</c:v>
                </c:pt>
                <c:pt idx="13">
                  <c:v>3.0263254999999999E-2</c:v>
                </c:pt>
                <c:pt idx="14">
                  <c:v>3.5522715000000003E-2</c:v>
                </c:pt>
                <c:pt idx="15">
                  <c:v>4.3014954000000001E-2</c:v>
                </c:pt>
                <c:pt idx="16">
                  <c:v>5.4056435999999999E-2</c:v>
                </c:pt>
                <c:pt idx="17">
                  <c:v>7.0809999999999998E-2</c:v>
                </c:pt>
                <c:pt idx="18">
                  <c:v>9.8000000000000004E-2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869-41EE-B53B-0DB39FD10145}"/>
            </c:ext>
          </c:extLst>
        </c:ser>
        <c:ser>
          <c:idx val="1"/>
          <c:order val="1"/>
          <c:tx>
            <c:v>Experimental 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Sheet1!$A$70:$A$88</c:f>
              <c:numCache>
                <c:formatCode>General</c:formatCode>
                <c:ptCount val="19"/>
                <c:pt idx="0">
                  <c:v>-8</c:v>
                </c:pt>
                <c:pt idx="1">
                  <c:v>-6</c:v>
                </c:pt>
                <c:pt idx="2">
                  <c:v>-4</c:v>
                </c:pt>
                <c:pt idx="3">
                  <c:v>-2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Sheet1!$M$70:$M$88</c:f>
              <c:numCache>
                <c:formatCode>General</c:formatCode>
                <c:ptCount val="19"/>
                <c:pt idx="0">
                  <c:v>9.7999999999999997E-3</c:v>
                </c:pt>
                <c:pt idx="1">
                  <c:v>8.2000000000000007E-3</c:v>
                </c:pt>
                <c:pt idx="2">
                  <c:v>7.4000000000000003E-3</c:v>
                </c:pt>
                <c:pt idx="3">
                  <c:v>6.7999999999999996E-3</c:v>
                </c:pt>
                <c:pt idx="4">
                  <c:v>6.6E-3</c:v>
                </c:pt>
                <c:pt idx="5">
                  <c:v>6.6E-3</c:v>
                </c:pt>
                <c:pt idx="6">
                  <c:v>6.7000000000000002E-3</c:v>
                </c:pt>
                <c:pt idx="7">
                  <c:v>9.4000000000000004E-3</c:v>
                </c:pt>
                <c:pt idx="8">
                  <c:v>1.15E-2</c:v>
                </c:pt>
                <c:pt idx="9">
                  <c:v>1.3599999999999999E-2</c:v>
                </c:pt>
                <c:pt idx="10">
                  <c:v>1.7000000000000001E-2</c:v>
                </c:pt>
                <c:pt idx="11">
                  <c:v>1.9599999999999999E-2</c:v>
                </c:pt>
                <c:pt idx="12">
                  <c:v>2.3300000000000001E-2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869-41EE-B53B-0DB39FD10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945120"/>
        <c:axId val="91876080"/>
      </c:scatterChart>
      <c:valAx>
        <c:axId val="304945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76080"/>
        <c:crosses val="autoZero"/>
        <c:crossBetween val="midCat"/>
        <c:majorUnit val="2"/>
      </c:valAx>
      <c:valAx>
        <c:axId val="9187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Drag Coefficient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4945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Lift-to-Drag Ratio vs AoA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Simulation Data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Sheet1!$A$70:$A$88</c:f>
              <c:numCache>
                <c:formatCode>General</c:formatCode>
                <c:ptCount val="19"/>
                <c:pt idx="0">
                  <c:v>-8</c:v>
                </c:pt>
                <c:pt idx="1">
                  <c:v>-6</c:v>
                </c:pt>
                <c:pt idx="2">
                  <c:v>-4</c:v>
                </c:pt>
                <c:pt idx="3">
                  <c:v>-2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Sheet1!$K$70:$K$88</c:f>
              <c:numCache>
                <c:formatCode>0.00000000</c:formatCode>
                <c:ptCount val="19"/>
                <c:pt idx="0">
                  <c:v>-52.614048035648487</c:v>
                </c:pt>
                <c:pt idx="1">
                  <c:v>-40.662139169067125</c:v>
                </c:pt>
                <c:pt idx="2">
                  <c:v>-22.454205710455678</c:v>
                </c:pt>
                <c:pt idx="3">
                  <c:v>-3.5352299730841343E-2</c:v>
                </c:pt>
                <c:pt idx="4">
                  <c:v>23.048273758944422</c:v>
                </c:pt>
                <c:pt idx="5">
                  <c:v>43.620249720720835</c:v>
                </c:pt>
                <c:pt idx="6">
                  <c:v>59.271990748555481</c:v>
                </c:pt>
                <c:pt idx="7">
                  <c:v>69.097584239770953</c:v>
                </c:pt>
                <c:pt idx="8">
                  <c:v>73.280834270317669</c:v>
                </c:pt>
                <c:pt idx="9">
                  <c:v>72.505123612444734</c:v>
                </c:pt>
                <c:pt idx="10">
                  <c:v>67.482481778212048</c:v>
                </c:pt>
                <c:pt idx="11">
                  <c:v>63.507426774776761</c:v>
                </c:pt>
                <c:pt idx="12">
                  <c:v>58.602878838056213</c:v>
                </c:pt>
                <c:pt idx="13">
                  <c:v>52.713130163956258</c:v>
                </c:pt>
                <c:pt idx="14">
                  <c:v>45.897046439158714</c:v>
                </c:pt>
                <c:pt idx="15">
                  <c:v>38.19202503389868</c:v>
                </c:pt>
                <c:pt idx="16">
                  <c:v>30.030581372401244</c:v>
                </c:pt>
                <c:pt idx="17">
                  <c:v>22.002542013839854</c:v>
                </c:pt>
                <c:pt idx="18">
                  <c:v>13.775510204081632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A5-4947-9418-58AE675AA7FA}"/>
            </c:ext>
          </c:extLst>
        </c:ser>
        <c:ser>
          <c:idx val="1"/>
          <c:order val="1"/>
          <c:tx>
            <c:v>Experimental Data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Sheet1!$A$70:$A$88</c:f>
              <c:numCache>
                <c:formatCode>General</c:formatCode>
                <c:ptCount val="19"/>
                <c:pt idx="0">
                  <c:v>-8</c:v>
                </c:pt>
                <c:pt idx="1">
                  <c:v>-6</c:v>
                </c:pt>
                <c:pt idx="2">
                  <c:v>-4</c:v>
                </c:pt>
                <c:pt idx="3">
                  <c:v>-2</c:v>
                </c:pt>
                <c:pt idx="4">
                  <c:v>0</c:v>
                </c:pt>
                <c:pt idx="5">
                  <c:v>2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</c:numCache>
            </c:numRef>
          </c:xVal>
          <c:yVal>
            <c:numRef>
              <c:f>Sheet1!$O$70:$O$82</c:f>
              <c:numCache>
                <c:formatCode>General</c:formatCode>
                <c:ptCount val="13"/>
                <c:pt idx="0">
                  <c:v>-61.224489795918366</c:v>
                </c:pt>
                <c:pt idx="1">
                  <c:v>-46.341463414634141</c:v>
                </c:pt>
                <c:pt idx="2">
                  <c:v>-24.324324324324323</c:v>
                </c:pt>
                <c:pt idx="3">
                  <c:v>5.882352941176471</c:v>
                </c:pt>
                <c:pt idx="4">
                  <c:v>37.878787878787882</c:v>
                </c:pt>
                <c:pt idx="5">
                  <c:v>69.696969696969703</c:v>
                </c:pt>
                <c:pt idx="6">
                  <c:v>97.014925373134332</c:v>
                </c:pt>
                <c:pt idx="7">
                  <c:v>92.553191489361694</c:v>
                </c:pt>
                <c:pt idx="8">
                  <c:v>91.304347826086968</c:v>
                </c:pt>
                <c:pt idx="9">
                  <c:v>91.176470588235304</c:v>
                </c:pt>
                <c:pt idx="10">
                  <c:v>82.35294117647058</c:v>
                </c:pt>
                <c:pt idx="11">
                  <c:v>74.489795918367349</c:v>
                </c:pt>
                <c:pt idx="12">
                  <c:v>65.236051502145926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A5-4947-9418-58AE675AA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376048"/>
        <c:axId val="92019120"/>
      </c:scatterChart>
      <c:valAx>
        <c:axId val="76376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Angle of Attack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19120"/>
        <c:crosses val="autoZero"/>
        <c:crossBetween val="midCat"/>
        <c:majorUnit val="2"/>
      </c:valAx>
      <c:valAx>
        <c:axId val="9201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Lift-to-Drag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76048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45</xdr:row>
      <xdr:rowOff>34290</xdr:rowOff>
    </xdr:from>
    <xdr:to>
      <xdr:col>4</xdr:col>
      <xdr:colOff>1052700</xdr:colOff>
      <xdr:row>64</xdr:row>
      <xdr:rowOff>159570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F7C824-A711-748B-FB04-4A7BB4A80A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24</xdr:row>
      <xdr:rowOff>45720</xdr:rowOff>
    </xdr:from>
    <xdr:to>
      <xdr:col>4</xdr:col>
      <xdr:colOff>1052700</xdr:colOff>
      <xdr:row>43</xdr:row>
      <xdr:rowOff>171000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AAE2E0-0F9D-4886-B4E4-BC9B6209A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45720</xdr:colOff>
      <xdr:row>24</xdr:row>
      <xdr:rowOff>57150</xdr:rowOff>
    </xdr:from>
    <xdr:to>
      <xdr:col>11</xdr:col>
      <xdr:colOff>435480</xdr:colOff>
      <xdr:row>43</xdr:row>
      <xdr:rowOff>182430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68DA5D-91A3-8EF1-875A-5EFD27082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</xdr:colOff>
      <xdr:row>45</xdr:row>
      <xdr:rowOff>38100</xdr:rowOff>
    </xdr:from>
    <xdr:to>
      <xdr:col>11</xdr:col>
      <xdr:colOff>427860</xdr:colOff>
      <xdr:row>64</xdr:row>
      <xdr:rowOff>163380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BB1070-47D0-42BF-BB59-4E4E745FB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30480</xdr:colOff>
      <xdr:row>89</xdr:row>
      <xdr:rowOff>34290</xdr:rowOff>
    </xdr:from>
    <xdr:to>
      <xdr:col>11</xdr:col>
      <xdr:colOff>420240</xdr:colOff>
      <xdr:row>108</xdr:row>
      <xdr:rowOff>159570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416A960-F49A-2316-1194-662ACD2536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38100</xdr:colOff>
      <xdr:row>109</xdr:row>
      <xdr:rowOff>19050</xdr:rowOff>
    </xdr:from>
    <xdr:to>
      <xdr:col>4</xdr:col>
      <xdr:colOff>1052700</xdr:colOff>
      <xdr:row>128</xdr:row>
      <xdr:rowOff>144330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DEF14-F031-144F-562C-07899ACAE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243840</xdr:colOff>
      <xdr:row>89</xdr:row>
      <xdr:rowOff>41910</xdr:rowOff>
    </xdr:from>
    <xdr:to>
      <xdr:col>4</xdr:col>
      <xdr:colOff>1258440</xdr:colOff>
      <xdr:row>108</xdr:row>
      <xdr:rowOff>167190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DFCE6B-E21F-0DBD-E77B-448BAF9707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30480</xdr:colOff>
      <xdr:row>109</xdr:row>
      <xdr:rowOff>41910</xdr:rowOff>
    </xdr:from>
    <xdr:to>
      <xdr:col>11</xdr:col>
      <xdr:colOff>420240</xdr:colOff>
      <xdr:row>128</xdr:row>
      <xdr:rowOff>167190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73899C6-0B96-F5B1-76ED-8F287B01EC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AC823-8F05-4A30-8362-1C457E80F496}">
  <dimension ref="A1:Q90"/>
  <sheetViews>
    <sheetView tabSelected="1" topLeftCell="A98" zoomScale="93" workbookViewId="0">
      <selection activeCell="L94" sqref="L94"/>
    </sheetView>
  </sheetViews>
  <sheetFormatPr defaultRowHeight="14.4" x14ac:dyDescent="0.3"/>
  <cols>
    <col min="1" max="1" width="15.109375" bestFit="1" customWidth="1"/>
    <col min="2" max="2" width="16" bestFit="1" customWidth="1"/>
    <col min="3" max="3" width="21.33203125" bestFit="1" customWidth="1"/>
    <col min="4" max="4" width="22" bestFit="1" customWidth="1"/>
    <col min="5" max="5" width="18.88671875" bestFit="1" customWidth="1"/>
    <col min="6" max="6" width="12.88671875" bestFit="1" customWidth="1"/>
    <col min="7" max="7" width="12" bestFit="1" customWidth="1"/>
    <col min="8" max="8" width="13.6640625" bestFit="1" customWidth="1"/>
    <col min="9" max="9" width="20.5546875" bestFit="1" customWidth="1"/>
    <col min="10" max="11" width="12.6640625" bestFit="1" customWidth="1"/>
    <col min="12" max="13" width="14" bestFit="1" customWidth="1"/>
    <col min="14" max="14" width="12.5546875" bestFit="1" customWidth="1"/>
    <col min="15" max="15" width="12" bestFit="1" customWidth="1"/>
    <col min="16" max="16" width="12.6640625" bestFit="1" customWidth="1"/>
    <col min="17" max="17" width="12" bestFit="1" customWidth="1"/>
  </cols>
  <sheetData>
    <row r="1" spans="1:17" x14ac:dyDescent="0.3">
      <c r="A1" s="18" t="s">
        <v>57</v>
      </c>
      <c r="B1" s="18"/>
    </row>
    <row r="2" spans="1:17" x14ac:dyDescent="0.3">
      <c r="A2" s="1" t="s">
        <v>0</v>
      </c>
      <c r="B2" s="2">
        <f>SQRT(2)</f>
        <v>1.4142135623730951</v>
      </c>
    </row>
    <row r="4" spans="1:17" x14ac:dyDescent="0.3">
      <c r="A4" s="18" t="s">
        <v>58</v>
      </c>
      <c r="B4" s="18"/>
      <c r="C4" s="18"/>
      <c r="D4" s="18"/>
      <c r="E4" s="18"/>
      <c r="F4" s="18"/>
    </row>
    <row r="5" spans="1:17" x14ac:dyDescent="0.3">
      <c r="A5" s="1"/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 spans="1:17" x14ac:dyDescent="0.3">
      <c r="A6" s="1" t="s">
        <v>6</v>
      </c>
      <c r="B6" s="3">
        <f>B7/$B$2</f>
        <v>176.77669529663686</v>
      </c>
      <c r="C6" s="3">
        <f t="shared" ref="C6:E6" si="0">C7/$B$2</f>
        <v>106.06601717798212</v>
      </c>
      <c r="D6" s="3">
        <f t="shared" si="0"/>
        <v>106.06601717798212</v>
      </c>
      <c r="E6" s="3">
        <f t="shared" si="0"/>
        <v>70.710678118654741</v>
      </c>
      <c r="F6" s="2">
        <v>100182</v>
      </c>
      <c r="G6" s="4"/>
    </row>
    <row r="7" spans="1:17" x14ac:dyDescent="0.3">
      <c r="A7" s="1" t="s">
        <v>7</v>
      </c>
      <c r="B7" s="2">
        <v>250</v>
      </c>
      <c r="C7" s="2">
        <v>150</v>
      </c>
      <c r="D7" s="2">
        <v>150</v>
      </c>
      <c r="E7" s="2">
        <v>100</v>
      </c>
      <c r="F7" s="2">
        <v>200000</v>
      </c>
    </row>
    <row r="8" spans="1:17" x14ac:dyDescent="0.3">
      <c r="A8" s="1" t="s">
        <v>8</v>
      </c>
      <c r="B8" s="3">
        <f>B7*$B$2</f>
        <v>353.55339059327378</v>
      </c>
      <c r="C8" s="3">
        <f t="shared" ref="C8:E8" si="1">C7*$B$2</f>
        <v>212.13203435596427</v>
      </c>
      <c r="D8" s="3">
        <f t="shared" si="1"/>
        <v>212.13203435596427</v>
      </c>
      <c r="E8" s="3">
        <f t="shared" si="1"/>
        <v>141.42135623730951</v>
      </c>
      <c r="F8" s="2">
        <v>400020</v>
      </c>
      <c r="G8" s="4"/>
    </row>
    <row r="9" spans="1:17" x14ac:dyDescent="0.3">
      <c r="B9" s="10"/>
      <c r="C9" s="10"/>
      <c r="D9" s="10"/>
      <c r="E9" s="10"/>
      <c r="G9" s="10"/>
    </row>
    <row r="10" spans="1:17" x14ac:dyDescent="0.3">
      <c r="A10" s="18" t="s">
        <v>59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</row>
    <row r="11" spans="1:17" ht="16.8" x14ac:dyDescent="0.35">
      <c r="A11" s="1" t="s">
        <v>12</v>
      </c>
      <c r="B11" s="1" t="s">
        <v>13</v>
      </c>
      <c r="C11" s="1" t="s">
        <v>19</v>
      </c>
      <c r="D11" s="1" t="s">
        <v>18</v>
      </c>
      <c r="E11" s="1" t="s">
        <v>9</v>
      </c>
      <c r="F11" s="1" t="s">
        <v>62</v>
      </c>
      <c r="G11" s="1" t="s">
        <v>10</v>
      </c>
      <c r="H11" s="1" t="s">
        <v>11</v>
      </c>
      <c r="I11" s="1" t="s">
        <v>14</v>
      </c>
      <c r="J11" s="1" t="s">
        <v>15</v>
      </c>
      <c r="K11" s="1" t="s">
        <v>17</v>
      </c>
      <c r="L11" s="1" t="s">
        <v>16</v>
      </c>
    </row>
    <row r="12" spans="1:17" x14ac:dyDescent="0.3">
      <c r="A12" s="2">
        <v>14</v>
      </c>
      <c r="B12" s="5">
        <v>3100000</v>
      </c>
      <c r="C12" s="6">
        <v>1.2250000000000001</v>
      </c>
      <c r="D12" s="8">
        <v>1.7893999999999998E-5</v>
      </c>
      <c r="E12" s="2">
        <v>1</v>
      </c>
      <c r="F12" s="7">
        <f>(B12*D12)/(E12*C12)</f>
        <v>45.282775510204075</v>
      </c>
      <c r="G12" s="6">
        <f>COS(RADIANS(A12))</f>
        <v>0.97029572627599647</v>
      </c>
      <c r="H12" s="6">
        <f>SIN(RADIANS(A12))</f>
        <v>0.24192189559966773</v>
      </c>
      <c r="I12" s="6">
        <f>-H12</f>
        <v>-0.24192189559966773</v>
      </c>
      <c r="J12" s="6">
        <f>G12</f>
        <v>0.97029572627599647</v>
      </c>
      <c r="K12" s="6">
        <f>G12</f>
        <v>0.97029572627599647</v>
      </c>
      <c r="L12" s="6">
        <f>H12</f>
        <v>0.24192189559966773</v>
      </c>
    </row>
    <row r="13" spans="1:17" x14ac:dyDescent="0.3">
      <c r="B13" s="11"/>
      <c r="C13" s="12"/>
      <c r="D13" s="13"/>
      <c r="F13" s="14"/>
      <c r="G13" s="12"/>
      <c r="H13" s="12"/>
      <c r="I13" s="12"/>
      <c r="J13" s="12"/>
      <c r="K13" s="12"/>
      <c r="L13" s="12"/>
    </row>
    <row r="14" spans="1:17" x14ac:dyDescent="0.3">
      <c r="A14" s="18" t="s">
        <v>60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15.6" x14ac:dyDescent="0.35">
      <c r="A15" s="2"/>
      <c r="B15" s="1" t="s">
        <v>22</v>
      </c>
      <c r="C15" s="1" t="s">
        <v>40</v>
      </c>
      <c r="D15" s="1" t="s">
        <v>41</v>
      </c>
      <c r="E15" s="1" t="s">
        <v>42</v>
      </c>
      <c r="F15" s="1" t="s">
        <v>23</v>
      </c>
      <c r="G15" s="1" t="s">
        <v>24</v>
      </c>
      <c r="H15" s="1" t="s">
        <v>25</v>
      </c>
      <c r="I15" s="1" t="s">
        <v>26</v>
      </c>
      <c r="J15" s="1" t="s">
        <v>27</v>
      </c>
      <c r="K15" s="1" t="s">
        <v>29</v>
      </c>
      <c r="L15" s="1" t="s">
        <v>34</v>
      </c>
      <c r="M15" s="1" t="s">
        <v>30</v>
      </c>
      <c r="N15" s="1" t="s">
        <v>31</v>
      </c>
      <c r="O15" s="1" t="s">
        <v>32</v>
      </c>
      <c r="P15" s="1" t="s">
        <v>33</v>
      </c>
      <c r="Q15" s="1" t="s">
        <v>28</v>
      </c>
    </row>
    <row r="16" spans="1:17" ht="15.6" x14ac:dyDescent="0.35">
      <c r="A16" s="1" t="s">
        <v>20</v>
      </c>
      <c r="B16" s="2">
        <v>1.52</v>
      </c>
      <c r="C16" s="2">
        <v>1.5120123000000001</v>
      </c>
      <c r="D16" s="2">
        <v>1.5372583</v>
      </c>
      <c r="E16" s="2">
        <v>1.5435918</v>
      </c>
      <c r="F16" s="2">
        <f>C16-D16</f>
        <v>-2.524599999999988E-2</v>
      </c>
      <c r="G16" s="2">
        <f>D16-E16</f>
        <v>-6.3334999999999919E-3</v>
      </c>
      <c r="H16" s="2">
        <f>G16/F16</f>
        <v>0.25087142517626643</v>
      </c>
      <c r="I16" s="2" t="str">
        <f>IF(AND(H16&lt;1,H16&gt;0),"Monotonic Convergence",IF(AND(H16&gt;-1,H16&lt;0),"Oscillatory Convergence",IF(H16&lt;-1,"Oscillatory Divergence","Monotonic Divergence")))</f>
        <v>Monotonic Convergence</v>
      </c>
      <c r="J16" s="2">
        <f>(1/LN(B2))*ABS(LN(F16/G16))</f>
        <v>3.9899598820326623</v>
      </c>
      <c r="K16" s="2">
        <f>((($B$2^J16)*E16)-D16)/(($B$2^J16)-1)</f>
        <v>1.5457127899405154</v>
      </c>
      <c r="L16" s="2">
        <f>((($B$2^J16)*D16)-C16)/(($B$2^J16)-1)</f>
        <v>1.5457127899405154</v>
      </c>
      <c r="M16" s="2">
        <f>ABS(E16-D16)/E16</f>
        <v>4.1030925403983051E-3</v>
      </c>
      <c r="N16" s="2">
        <f>ABS(K16-E16)/K16</f>
        <v>1.3721759658837293E-3</v>
      </c>
      <c r="O16" s="2">
        <f>1.25*M16/($B$2^J16-1)</f>
        <v>1.7175767749248374E-3</v>
      </c>
      <c r="P16" s="2">
        <f>O16*100</f>
        <v>0.17175767749248375</v>
      </c>
      <c r="Q16" s="2">
        <f>(ABS(B16-K16)/B16)*100</f>
        <v>1.691630917139171</v>
      </c>
    </row>
    <row r="17" spans="1:17" ht="15.6" x14ac:dyDescent="0.35">
      <c r="A17" s="1" t="s">
        <v>21</v>
      </c>
      <c r="B17" s="2">
        <v>2.3300000000000001E-2</v>
      </c>
      <c r="C17" s="2">
        <v>2.8640609000000001E-2</v>
      </c>
      <c r="D17" s="2">
        <v>2.6844513E-2</v>
      </c>
      <c r="E17" s="2">
        <v>2.6339863000000002E-2</v>
      </c>
      <c r="F17" s="2">
        <f>C17-D17</f>
        <v>1.7960960000000005E-3</v>
      </c>
      <c r="G17" s="2">
        <f>D17-E17</f>
        <v>5.0464999999999885E-4</v>
      </c>
      <c r="H17" s="2">
        <f>G17/F17</f>
        <v>0.28097050491733111</v>
      </c>
      <c r="I17" s="2" t="str">
        <f>IF(AND(H16&lt;1,H16&gt;0),"Monotonic Convergence",IF(AND(H16&gt;-1,H16&lt;0),"Oscillatory Convergence",IF(H16&lt;-1,"Oscillatory Divergence","Monotonic Divergence")))</f>
        <v>Monotonic Convergence</v>
      </c>
      <c r="J17" s="2">
        <f>(1/LN(B2))*ABS(LN(F17/G17))</f>
        <v>3.66301880890299</v>
      </c>
      <c r="K17" s="2">
        <f>((($B$2^J17)*E17)-D17)/(($B$2^J17)-1)</f>
        <v>2.6142664183711906E-2</v>
      </c>
      <c r="L17" s="2">
        <f>((($B$2^J17)*D17)-C17)/(($B$2^J17)-1)</f>
        <v>2.6142664183711906E-2</v>
      </c>
      <c r="M17" s="2">
        <f>ABS(E17-D17)/E17</f>
        <v>1.9159173303217213E-2</v>
      </c>
      <c r="N17" s="2">
        <f>ABS(K17-E17)/K17</f>
        <v>7.5431797961494412E-3</v>
      </c>
      <c r="O17" s="2">
        <f>1.25*M17/($B$2^J17-1)</f>
        <v>9.3583827812666314E-3</v>
      </c>
      <c r="P17" s="2">
        <f>O17*100</f>
        <v>0.93583827812666309</v>
      </c>
      <c r="Q17" s="2">
        <f>(ABS(B17-K17)/B17)*100</f>
        <v>12.200275466574698</v>
      </c>
    </row>
    <row r="19" spans="1:17" ht="15.6" x14ac:dyDescent="0.35">
      <c r="A19" s="1" t="s">
        <v>37</v>
      </c>
      <c r="B19" s="2">
        <f>C16</f>
        <v>1.5120123000000001</v>
      </c>
      <c r="C19" s="1" t="s">
        <v>39</v>
      </c>
      <c r="D19" s="2">
        <f>F6</f>
        <v>100182</v>
      </c>
      <c r="E19" s="1" t="s">
        <v>44</v>
      </c>
      <c r="F19" s="5">
        <f>1/D19</f>
        <v>9.9818330638238412E-6</v>
      </c>
      <c r="H19" s="1" t="s">
        <v>45</v>
      </c>
      <c r="I19" s="2">
        <f>C17</f>
        <v>2.8640609000000001E-2</v>
      </c>
    </row>
    <row r="20" spans="1:17" ht="15.6" x14ac:dyDescent="0.35">
      <c r="A20" s="1" t="s">
        <v>35</v>
      </c>
      <c r="B20" s="2">
        <f>D16</f>
        <v>1.5372583</v>
      </c>
      <c r="C20" s="1"/>
      <c r="D20" s="2">
        <f>F7</f>
        <v>200000</v>
      </c>
      <c r="E20" s="1"/>
      <c r="F20" s="5">
        <f t="shared" ref="F20:F21" si="2">1/D20</f>
        <v>5.0000000000000004E-6</v>
      </c>
      <c r="H20" s="1" t="s">
        <v>46</v>
      </c>
      <c r="I20" s="2">
        <f>D17</f>
        <v>2.6844513E-2</v>
      </c>
    </row>
    <row r="21" spans="1:17" ht="15.6" x14ac:dyDescent="0.35">
      <c r="A21" s="1" t="s">
        <v>36</v>
      </c>
      <c r="B21" s="2">
        <f>E16</f>
        <v>1.5435918</v>
      </c>
      <c r="C21" s="1"/>
      <c r="D21" s="2">
        <f>F8</f>
        <v>400020</v>
      </c>
      <c r="E21" s="1"/>
      <c r="F21" s="5">
        <f t="shared" si="2"/>
        <v>2.4998750062496877E-6</v>
      </c>
      <c r="H21" s="1" t="s">
        <v>47</v>
      </c>
      <c r="I21" s="2">
        <f>E17</f>
        <v>2.6339863000000002E-2</v>
      </c>
    </row>
    <row r="22" spans="1:17" ht="15.6" x14ac:dyDescent="0.35">
      <c r="A22" s="1" t="s">
        <v>38</v>
      </c>
      <c r="B22" s="2">
        <f>K16</f>
        <v>1.5457127899405154</v>
      </c>
      <c r="C22" s="1"/>
      <c r="D22" s="9" t="s">
        <v>43</v>
      </c>
      <c r="E22" s="1"/>
      <c r="F22" s="5">
        <v>0</v>
      </c>
      <c r="H22" s="1" t="s">
        <v>48</v>
      </c>
      <c r="I22" s="2">
        <f>K17</f>
        <v>2.6142664183711906E-2</v>
      </c>
    </row>
    <row r="23" spans="1:17" x14ac:dyDescent="0.3">
      <c r="B23">
        <f>B16</f>
        <v>1.52</v>
      </c>
      <c r="C23">
        <v>0</v>
      </c>
      <c r="H23">
        <f>B17</f>
        <v>2.3300000000000001E-2</v>
      </c>
      <c r="I23">
        <v>0</v>
      </c>
    </row>
    <row r="28" spans="1:17" x14ac:dyDescent="0.3">
      <c r="J28" s="2">
        <f>E17</f>
        <v>2.6339863000000002E-2</v>
      </c>
    </row>
    <row r="67" spans="1:15" x14ac:dyDescent="0.3">
      <c r="A67" s="18" t="s">
        <v>61</v>
      </c>
      <c r="B67" s="18"/>
      <c r="C67" s="18"/>
      <c r="D67" s="18"/>
      <c r="E67" s="18"/>
      <c r="F67" s="18"/>
      <c r="G67" s="18"/>
    </row>
    <row r="68" spans="1:15" ht="16.2" x14ac:dyDescent="0.3">
      <c r="A68" s="1" t="s">
        <v>62</v>
      </c>
      <c r="B68" s="7">
        <f>F12</f>
        <v>45.282775510204075</v>
      </c>
      <c r="C68" s="1"/>
      <c r="D68" s="19" t="s">
        <v>52</v>
      </c>
      <c r="E68" s="19"/>
      <c r="F68" s="19" t="s">
        <v>53</v>
      </c>
      <c r="G68" s="19"/>
      <c r="I68" s="18" t="s">
        <v>63</v>
      </c>
      <c r="J68" s="18"/>
      <c r="K68" s="18"/>
      <c r="M68" s="18" t="s">
        <v>65</v>
      </c>
      <c r="N68" s="18"/>
      <c r="O68" s="18"/>
    </row>
    <row r="69" spans="1:15" ht="15.6" x14ac:dyDescent="0.35">
      <c r="A69" s="1" t="s">
        <v>49</v>
      </c>
      <c r="B69" s="1" t="s">
        <v>50</v>
      </c>
      <c r="C69" s="1" t="s">
        <v>51</v>
      </c>
      <c r="D69" s="1" t="s">
        <v>55</v>
      </c>
      <c r="E69" s="1" t="s">
        <v>54</v>
      </c>
      <c r="F69" s="1" t="s">
        <v>55</v>
      </c>
      <c r="G69" s="1" t="s">
        <v>56</v>
      </c>
      <c r="I69" s="1" t="s">
        <v>52</v>
      </c>
      <c r="J69" s="1" t="s">
        <v>53</v>
      </c>
      <c r="K69" s="1" t="s">
        <v>66</v>
      </c>
      <c r="M69" s="1" t="s">
        <v>52</v>
      </c>
      <c r="N69" s="1" t="s">
        <v>53</v>
      </c>
      <c r="O69" s="1" t="s">
        <v>66</v>
      </c>
    </row>
    <row r="70" spans="1:15" x14ac:dyDescent="0.3">
      <c r="A70" s="2">
        <v>-8</v>
      </c>
      <c r="B70" s="6">
        <f>COS(RADIANS(A70))</f>
        <v>0.99026806874157036</v>
      </c>
      <c r="C70" s="6">
        <f>SIN(RADIANS(A70))</f>
        <v>-0.13917310096006544</v>
      </c>
      <c r="D70" s="6">
        <f>B70</f>
        <v>0.99026806874157036</v>
      </c>
      <c r="E70" s="6">
        <f>C70</f>
        <v>-0.13917310096006544</v>
      </c>
      <c r="F70" s="6">
        <f>-C70</f>
        <v>0.13917310096006544</v>
      </c>
      <c r="G70" s="6">
        <f>B70</f>
        <v>0.99026806874157036</v>
      </c>
      <c r="I70" s="2">
        <v>1.2128201E-2</v>
      </c>
      <c r="J70" s="17">
        <v>-0.63811375000000004</v>
      </c>
      <c r="K70" s="16">
        <f>J70/I70</f>
        <v>-52.614048035648487</v>
      </c>
      <c r="M70" s="2">
        <v>9.7999999999999997E-3</v>
      </c>
      <c r="N70" s="2">
        <v>-0.6</v>
      </c>
      <c r="O70" s="2">
        <f>N70/M70</f>
        <v>-61.224489795918366</v>
      </c>
    </row>
    <row r="71" spans="1:15" x14ac:dyDescent="0.3">
      <c r="A71" s="2">
        <v>-6</v>
      </c>
      <c r="B71" s="6">
        <f t="shared" ref="B71:B88" si="3">COS(RADIANS(A71))</f>
        <v>0.99452189536827329</v>
      </c>
      <c r="C71" s="6">
        <f t="shared" ref="C71:C88" si="4">SIN(RADIANS(A71))</f>
        <v>-0.10452846326765347</v>
      </c>
      <c r="D71" s="6">
        <f t="shared" ref="D71:D88" si="5">B71</f>
        <v>0.99452189536827329</v>
      </c>
      <c r="E71" s="6">
        <f t="shared" ref="E71:E88" si="6">C71</f>
        <v>-0.10452846326765347</v>
      </c>
      <c r="F71" s="6">
        <f t="shared" ref="F71:F88" si="7">-C71</f>
        <v>0.10452846326765347</v>
      </c>
      <c r="G71" s="6">
        <f t="shared" ref="G71:G88" si="8">B71</f>
        <v>0.99452189536827329</v>
      </c>
      <c r="I71" s="2">
        <v>1.0537240999999999E-2</v>
      </c>
      <c r="J71" s="17">
        <v>-0.42846676</v>
      </c>
      <c r="K71" s="16">
        <f t="shared" ref="K71:K88" si="9">J71/I71</f>
        <v>-40.662139169067125</v>
      </c>
      <c r="M71" s="2">
        <v>8.2000000000000007E-3</v>
      </c>
      <c r="N71" s="2">
        <v>-0.38</v>
      </c>
      <c r="O71" s="2">
        <f t="shared" ref="O71:O82" si="10">N71/M71</f>
        <v>-46.341463414634141</v>
      </c>
    </row>
    <row r="72" spans="1:15" x14ac:dyDescent="0.3">
      <c r="A72" s="2">
        <v>-4</v>
      </c>
      <c r="B72" s="6">
        <f t="shared" si="3"/>
        <v>0.9975640502598242</v>
      </c>
      <c r="C72" s="6">
        <f t="shared" si="4"/>
        <v>-6.9756473744125302E-2</v>
      </c>
      <c r="D72" s="6">
        <f t="shared" si="5"/>
        <v>0.9975640502598242</v>
      </c>
      <c r="E72" s="6">
        <f t="shared" si="6"/>
        <v>-6.9756473744125302E-2</v>
      </c>
      <c r="F72" s="6">
        <f t="shared" si="7"/>
        <v>6.9756473744125302E-2</v>
      </c>
      <c r="G72" s="6">
        <f t="shared" si="8"/>
        <v>0.9975640502598242</v>
      </c>
      <c r="I72" s="2">
        <v>9.5945478000000004E-3</v>
      </c>
      <c r="J72" s="17">
        <v>-0.21543794999999999</v>
      </c>
      <c r="K72" s="16">
        <f t="shared" si="9"/>
        <v>-22.454205710455678</v>
      </c>
      <c r="M72" s="2">
        <v>7.4000000000000003E-3</v>
      </c>
      <c r="N72" s="2">
        <v>-0.18</v>
      </c>
      <c r="O72" s="2">
        <f t="shared" si="10"/>
        <v>-24.324324324324323</v>
      </c>
    </row>
    <row r="73" spans="1:15" x14ac:dyDescent="0.3">
      <c r="A73" s="2">
        <v>-2</v>
      </c>
      <c r="B73" s="6">
        <f t="shared" si="3"/>
        <v>0.99939082701909576</v>
      </c>
      <c r="C73" s="6">
        <f t="shared" si="4"/>
        <v>-3.4899496702500969E-2</v>
      </c>
      <c r="D73" s="6">
        <f t="shared" si="5"/>
        <v>0.99939082701909576</v>
      </c>
      <c r="E73" s="6">
        <f t="shared" si="6"/>
        <v>-3.4899496702500969E-2</v>
      </c>
      <c r="F73" s="6">
        <f t="shared" si="7"/>
        <v>3.4899496702500969E-2</v>
      </c>
      <c r="G73" s="6">
        <f t="shared" si="8"/>
        <v>0.99939082701909576</v>
      </c>
      <c r="I73" s="2">
        <v>9.1926822999999994E-3</v>
      </c>
      <c r="J73" s="17">
        <v>-3.2498245999999998E-4</v>
      </c>
      <c r="K73" s="16">
        <f t="shared" si="9"/>
        <v>-3.5352299730841343E-2</v>
      </c>
      <c r="M73" s="2">
        <v>6.7999999999999996E-3</v>
      </c>
      <c r="N73" s="2">
        <v>0.04</v>
      </c>
      <c r="O73" s="2">
        <f t="shared" si="10"/>
        <v>5.882352941176471</v>
      </c>
    </row>
    <row r="74" spans="1:15" x14ac:dyDescent="0.3">
      <c r="A74" s="2">
        <v>0</v>
      </c>
      <c r="B74" s="6">
        <f t="shared" si="3"/>
        <v>1</v>
      </c>
      <c r="C74" s="6">
        <f t="shared" si="4"/>
        <v>0</v>
      </c>
      <c r="D74" s="6">
        <f t="shared" si="5"/>
        <v>1</v>
      </c>
      <c r="E74" s="6">
        <f t="shared" si="6"/>
        <v>0</v>
      </c>
      <c r="F74" s="6">
        <f t="shared" si="7"/>
        <v>0</v>
      </c>
      <c r="G74" s="6">
        <f t="shared" si="8"/>
        <v>1</v>
      </c>
      <c r="I74" s="2">
        <v>9.2820843E-3</v>
      </c>
      <c r="J74" s="17">
        <v>0.21393602</v>
      </c>
      <c r="K74" s="16">
        <f t="shared" si="9"/>
        <v>23.048273758944422</v>
      </c>
      <c r="M74" s="2">
        <v>6.6E-3</v>
      </c>
      <c r="N74" s="2">
        <v>0.25</v>
      </c>
      <c r="O74" s="2">
        <f t="shared" si="10"/>
        <v>37.878787878787882</v>
      </c>
    </row>
    <row r="75" spans="1:15" x14ac:dyDescent="0.3">
      <c r="A75" s="2">
        <v>2</v>
      </c>
      <c r="B75" s="6">
        <f t="shared" si="3"/>
        <v>0.99939082701909576</v>
      </c>
      <c r="C75" s="6">
        <f t="shared" si="4"/>
        <v>3.4899496702500969E-2</v>
      </c>
      <c r="D75" s="6">
        <f t="shared" si="5"/>
        <v>0.99939082701909576</v>
      </c>
      <c r="E75" s="6">
        <f t="shared" si="6"/>
        <v>3.4899496702500969E-2</v>
      </c>
      <c r="F75" s="6">
        <f t="shared" si="7"/>
        <v>-3.4899496702500969E-2</v>
      </c>
      <c r="G75" s="6">
        <f t="shared" si="8"/>
        <v>0.99939082701909576</v>
      </c>
      <c r="I75" s="2">
        <v>9.8183122000000001E-3</v>
      </c>
      <c r="J75" s="17">
        <v>0.42827723000000001</v>
      </c>
      <c r="K75" s="16">
        <f t="shared" si="9"/>
        <v>43.620249720720835</v>
      </c>
      <c r="M75" s="2">
        <v>6.6E-3</v>
      </c>
      <c r="N75" s="2">
        <v>0.46</v>
      </c>
      <c r="O75" s="2">
        <f t="shared" si="10"/>
        <v>69.696969696969703</v>
      </c>
    </row>
    <row r="76" spans="1:15" x14ac:dyDescent="0.3">
      <c r="A76" s="2">
        <v>4</v>
      </c>
      <c r="B76" s="6">
        <f t="shared" si="3"/>
        <v>0.9975640502598242</v>
      </c>
      <c r="C76" s="6">
        <f t="shared" si="4"/>
        <v>6.9756473744125302E-2</v>
      </c>
      <c r="D76" s="6">
        <f t="shared" si="5"/>
        <v>0.9975640502598242</v>
      </c>
      <c r="E76" s="6">
        <f t="shared" si="6"/>
        <v>6.9756473744125302E-2</v>
      </c>
      <c r="F76" s="6">
        <f t="shared" si="7"/>
        <v>-6.9756473744125302E-2</v>
      </c>
      <c r="G76" s="6">
        <f t="shared" si="8"/>
        <v>0.9975640502598242</v>
      </c>
      <c r="I76" s="2">
        <v>1.0811717E-2</v>
      </c>
      <c r="J76" s="17">
        <v>0.64083199000000002</v>
      </c>
      <c r="K76" s="16">
        <f t="shared" si="9"/>
        <v>59.271990748555481</v>
      </c>
      <c r="M76" s="2">
        <v>6.7000000000000002E-3</v>
      </c>
      <c r="N76" s="2">
        <v>0.65</v>
      </c>
      <c r="O76" s="2">
        <f t="shared" si="10"/>
        <v>97.014925373134332</v>
      </c>
    </row>
    <row r="77" spans="1:15" x14ac:dyDescent="0.3">
      <c r="A77" s="2">
        <v>6</v>
      </c>
      <c r="B77" s="6">
        <f t="shared" si="3"/>
        <v>0.99452189536827329</v>
      </c>
      <c r="C77" s="6">
        <f t="shared" si="4"/>
        <v>0.10452846326765347</v>
      </c>
      <c r="D77" s="6">
        <f t="shared" si="5"/>
        <v>0.99452189536827329</v>
      </c>
      <c r="E77" s="6">
        <f t="shared" si="6"/>
        <v>0.10452846326765347</v>
      </c>
      <c r="F77" s="6">
        <f t="shared" si="7"/>
        <v>-0.10452846326765347</v>
      </c>
      <c r="G77" s="6">
        <f t="shared" si="8"/>
        <v>0.99452189536827329</v>
      </c>
      <c r="I77" s="2">
        <v>1.2282055E-2</v>
      </c>
      <c r="J77" s="17">
        <v>0.84866032999999996</v>
      </c>
      <c r="K77" s="16">
        <f t="shared" si="9"/>
        <v>69.097584239770953</v>
      </c>
      <c r="M77" s="2">
        <v>9.4000000000000004E-3</v>
      </c>
      <c r="N77" s="2">
        <v>0.87</v>
      </c>
      <c r="O77" s="2">
        <f t="shared" si="10"/>
        <v>92.553191489361694</v>
      </c>
    </row>
    <row r="78" spans="1:15" x14ac:dyDescent="0.3">
      <c r="A78" s="2">
        <v>8</v>
      </c>
      <c r="B78" s="6">
        <f t="shared" si="3"/>
        <v>0.99026806874157036</v>
      </c>
      <c r="C78" s="6">
        <f t="shared" si="4"/>
        <v>0.13917310096006544</v>
      </c>
      <c r="D78" s="6">
        <f t="shared" si="5"/>
        <v>0.99026806874157036</v>
      </c>
      <c r="E78" s="6">
        <f t="shared" si="6"/>
        <v>0.13917310096006544</v>
      </c>
      <c r="F78" s="6">
        <f t="shared" si="7"/>
        <v>-0.13917310096006544</v>
      </c>
      <c r="G78" s="6">
        <f t="shared" si="8"/>
        <v>0.99026806874157036</v>
      </c>
      <c r="I78" s="2">
        <v>1.4316318999999999E-2</v>
      </c>
      <c r="J78" s="17">
        <v>1.0491117999999999</v>
      </c>
      <c r="K78" s="16">
        <f t="shared" si="9"/>
        <v>73.280834270317669</v>
      </c>
      <c r="M78" s="2">
        <v>1.15E-2</v>
      </c>
      <c r="N78" s="2">
        <v>1.05</v>
      </c>
      <c r="O78" s="2">
        <f t="shared" si="10"/>
        <v>91.304347826086968</v>
      </c>
    </row>
    <row r="79" spans="1:15" x14ac:dyDescent="0.3">
      <c r="A79" s="2">
        <v>10</v>
      </c>
      <c r="B79" s="6">
        <f t="shared" si="3"/>
        <v>0.98480775301220802</v>
      </c>
      <c r="C79" s="6">
        <f t="shared" si="4"/>
        <v>0.17364817766693033</v>
      </c>
      <c r="D79" s="6">
        <f t="shared" si="5"/>
        <v>0.98480775301220802</v>
      </c>
      <c r="E79" s="6">
        <f t="shared" si="6"/>
        <v>0.17364817766693033</v>
      </c>
      <c r="F79" s="6">
        <f t="shared" si="7"/>
        <v>-0.17364817766693033</v>
      </c>
      <c r="G79" s="6">
        <f t="shared" si="8"/>
        <v>0.98480775301220802</v>
      </c>
      <c r="I79" s="2">
        <v>1.7057789E-2</v>
      </c>
      <c r="J79" s="17">
        <v>1.2367771000000001</v>
      </c>
      <c r="K79" s="16">
        <f t="shared" si="9"/>
        <v>72.505123612444734</v>
      </c>
      <c r="M79" s="2">
        <v>1.3599999999999999E-2</v>
      </c>
      <c r="N79" s="2">
        <v>1.24</v>
      </c>
      <c r="O79" s="2">
        <f t="shared" si="10"/>
        <v>91.176470588235304</v>
      </c>
    </row>
    <row r="80" spans="1:15" x14ac:dyDescent="0.3">
      <c r="A80" s="2">
        <v>12</v>
      </c>
      <c r="B80" s="6">
        <f t="shared" si="3"/>
        <v>0.97814760073380569</v>
      </c>
      <c r="C80" s="6">
        <f t="shared" si="4"/>
        <v>0.20791169081775934</v>
      </c>
      <c r="D80" s="6">
        <f t="shared" si="5"/>
        <v>0.97814760073380569</v>
      </c>
      <c r="E80" s="6">
        <f t="shared" si="6"/>
        <v>0.20791169081775934</v>
      </c>
      <c r="F80" s="6">
        <f t="shared" si="7"/>
        <v>-0.20791169081775934</v>
      </c>
      <c r="G80" s="6">
        <f t="shared" si="8"/>
        <v>0.97814760073380569</v>
      </c>
      <c r="I80" s="2">
        <v>2.0829596999999998E-2</v>
      </c>
      <c r="J80" s="17">
        <v>1.4056329000000001</v>
      </c>
      <c r="K80" s="16">
        <f t="shared" si="9"/>
        <v>67.482481778212048</v>
      </c>
      <c r="M80" s="2">
        <v>1.7000000000000001E-2</v>
      </c>
      <c r="N80" s="2">
        <v>1.4</v>
      </c>
      <c r="O80" s="2">
        <f t="shared" si="10"/>
        <v>82.35294117647058</v>
      </c>
    </row>
    <row r="81" spans="1:15" x14ac:dyDescent="0.3">
      <c r="A81" s="2">
        <v>13</v>
      </c>
      <c r="B81" s="6">
        <f t="shared" si="3"/>
        <v>0.97437006478523525</v>
      </c>
      <c r="C81" s="6">
        <f t="shared" si="4"/>
        <v>0.224951054343865</v>
      </c>
      <c r="D81" s="6">
        <f t="shared" si="5"/>
        <v>0.97437006478523525</v>
      </c>
      <c r="E81" s="6">
        <f t="shared" si="6"/>
        <v>0.224951054343865</v>
      </c>
      <c r="F81" s="6">
        <f t="shared" si="7"/>
        <v>-0.224951054343865</v>
      </c>
      <c r="G81" s="6">
        <f t="shared" si="8"/>
        <v>0.97437006478523525</v>
      </c>
      <c r="I81" s="2">
        <v>2.3299212E-2</v>
      </c>
      <c r="J81" s="17">
        <v>1.479673</v>
      </c>
      <c r="K81" s="16">
        <f t="shared" si="9"/>
        <v>63.507426774776761</v>
      </c>
      <c r="M81" s="2">
        <v>1.9599999999999999E-2</v>
      </c>
      <c r="N81" s="2">
        <v>1.46</v>
      </c>
      <c r="O81" s="2">
        <f t="shared" si="10"/>
        <v>74.489795918367349</v>
      </c>
    </row>
    <row r="82" spans="1:15" x14ac:dyDescent="0.3">
      <c r="A82" s="2">
        <v>14</v>
      </c>
      <c r="B82" s="6">
        <f t="shared" si="3"/>
        <v>0.97029572627599647</v>
      </c>
      <c r="C82" s="6">
        <f t="shared" si="4"/>
        <v>0.24192189559966773</v>
      </c>
      <c r="D82" s="6">
        <f t="shared" si="5"/>
        <v>0.97029572627599647</v>
      </c>
      <c r="E82" s="6">
        <f t="shared" si="6"/>
        <v>0.24192189559966773</v>
      </c>
      <c r="F82" s="6">
        <f t="shared" si="7"/>
        <v>-0.24192189559966773</v>
      </c>
      <c r="G82" s="6">
        <f t="shared" si="8"/>
        <v>0.97029572627599647</v>
      </c>
      <c r="I82" s="2">
        <v>2.6339863000000002E-2</v>
      </c>
      <c r="J82" s="17">
        <v>1.5435918</v>
      </c>
      <c r="K82" s="16">
        <f t="shared" si="9"/>
        <v>58.602878838056213</v>
      </c>
      <c r="M82" s="2">
        <v>2.3300000000000001E-2</v>
      </c>
      <c r="N82" s="2">
        <v>1.52</v>
      </c>
      <c r="O82" s="2">
        <f t="shared" si="10"/>
        <v>65.236051502145926</v>
      </c>
    </row>
    <row r="83" spans="1:15" ht="13.8" customHeight="1" x14ac:dyDescent="0.3">
      <c r="A83" s="2">
        <v>15</v>
      </c>
      <c r="B83" s="6">
        <f t="shared" si="3"/>
        <v>0.96592582628906831</v>
      </c>
      <c r="C83" s="6">
        <f t="shared" si="4"/>
        <v>0.25881904510252074</v>
      </c>
      <c r="D83" s="6">
        <f t="shared" si="5"/>
        <v>0.96592582628906831</v>
      </c>
      <c r="E83" s="6">
        <f t="shared" si="6"/>
        <v>0.25881904510252074</v>
      </c>
      <c r="F83" s="6">
        <f t="shared" si="7"/>
        <v>-0.25881904510252074</v>
      </c>
      <c r="G83" s="6">
        <f t="shared" si="8"/>
        <v>0.96592582628906831</v>
      </c>
      <c r="I83" s="2">
        <v>3.0263254999999999E-2</v>
      </c>
      <c r="J83" s="17">
        <v>1.5952709</v>
      </c>
      <c r="K83" s="16">
        <f t="shared" si="9"/>
        <v>52.713130163956258</v>
      </c>
      <c r="M83" s="2"/>
      <c r="N83" s="2">
        <v>1.57</v>
      </c>
      <c r="O83" s="2"/>
    </row>
    <row r="84" spans="1:15" x14ac:dyDescent="0.3">
      <c r="A84" s="2">
        <v>16</v>
      </c>
      <c r="B84" s="6">
        <f t="shared" si="3"/>
        <v>0.96126169593831889</v>
      </c>
      <c r="C84" s="6">
        <f t="shared" si="4"/>
        <v>0.27563735581699916</v>
      </c>
      <c r="D84" s="6">
        <f t="shared" si="5"/>
        <v>0.96126169593831889</v>
      </c>
      <c r="E84" s="6">
        <f t="shared" si="6"/>
        <v>0.27563735581699916</v>
      </c>
      <c r="F84" s="6">
        <f t="shared" si="7"/>
        <v>-0.27563735581699916</v>
      </c>
      <c r="G84" s="6">
        <f t="shared" si="8"/>
        <v>0.96126169593831889</v>
      </c>
      <c r="I84" s="2">
        <v>3.5522715000000003E-2</v>
      </c>
      <c r="J84" s="17">
        <v>1.6303877</v>
      </c>
      <c r="K84" s="16">
        <f t="shared" si="9"/>
        <v>45.897046439158714</v>
      </c>
      <c r="M84" s="2"/>
      <c r="N84" s="2">
        <v>1.55</v>
      </c>
      <c r="O84" s="2"/>
    </row>
    <row r="85" spans="1:15" x14ac:dyDescent="0.3">
      <c r="A85" s="2">
        <v>17</v>
      </c>
      <c r="B85" s="6">
        <f t="shared" si="3"/>
        <v>0.95630475596303544</v>
      </c>
      <c r="C85" s="6">
        <f t="shared" si="4"/>
        <v>0.29237170472273677</v>
      </c>
      <c r="D85" s="6">
        <f t="shared" si="5"/>
        <v>0.95630475596303544</v>
      </c>
      <c r="E85" s="6">
        <f t="shared" si="6"/>
        <v>0.29237170472273677</v>
      </c>
      <c r="F85" s="6">
        <f t="shared" si="7"/>
        <v>-0.29237170472273677</v>
      </c>
      <c r="G85" s="6">
        <f t="shared" si="8"/>
        <v>0.95630475596303544</v>
      </c>
      <c r="I85" s="2">
        <v>4.3014954000000001E-2</v>
      </c>
      <c r="J85" s="17">
        <v>1.6428282000000001</v>
      </c>
      <c r="K85" s="16">
        <f t="shared" si="9"/>
        <v>38.19202503389868</v>
      </c>
      <c r="M85" s="2"/>
      <c r="N85" s="2">
        <v>1.4</v>
      </c>
      <c r="O85" s="2"/>
    </row>
    <row r="86" spans="1:15" x14ac:dyDescent="0.3">
      <c r="A86" s="2">
        <v>18</v>
      </c>
      <c r="B86" s="6">
        <f t="shared" si="3"/>
        <v>0.95105651629515353</v>
      </c>
      <c r="C86" s="6">
        <f t="shared" si="4"/>
        <v>0.3090169943749474</v>
      </c>
      <c r="D86" s="6">
        <f t="shared" si="5"/>
        <v>0.95105651629515353</v>
      </c>
      <c r="E86" s="6">
        <f t="shared" si="6"/>
        <v>0.3090169943749474</v>
      </c>
      <c r="F86" s="6">
        <f t="shared" si="7"/>
        <v>-0.3090169943749474</v>
      </c>
      <c r="G86" s="6">
        <f t="shared" si="8"/>
        <v>0.95105651629515353</v>
      </c>
      <c r="I86" s="2">
        <v>5.4056435999999999E-2</v>
      </c>
      <c r="J86" s="17">
        <v>1.6233462000000001</v>
      </c>
      <c r="K86" s="16">
        <f t="shared" si="9"/>
        <v>30.030581372401244</v>
      </c>
      <c r="M86" s="2"/>
      <c r="N86" s="2">
        <v>1.27</v>
      </c>
      <c r="O86" s="2"/>
    </row>
    <row r="87" spans="1:15" x14ac:dyDescent="0.3">
      <c r="A87" s="2">
        <v>19</v>
      </c>
      <c r="B87" s="6">
        <f t="shared" si="3"/>
        <v>0.94551857559931685</v>
      </c>
      <c r="C87" s="6">
        <f t="shared" si="4"/>
        <v>0.3255681544571567</v>
      </c>
      <c r="D87" s="6">
        <f t="shared" si="5"/>
        <v>0.94551857559931685</v>
      </c>
      <c r="E87" s="6">
        <f t="shared" si="6"/>
        <v>0.3255681544571567</v>
      </c>
      <c r="F87" s="6">
        <f t="shared" si="7"/>
        <v>-0.3255681544571567</v>
      </c>
      <c r="G87" s="6">
        <f t="shared" si="8"/>
        <v>0.94551857559931685</v>
      </c>
      <c r="I87" s="2">
        <v>7.0809999999999998E-2</v>
      </c>
      <c r="J87" s="17">
        <v>1.5580000000000001</v>
      </c>
      <c r="K87" s="16">
        <f t="shared" si="9"/>
        <v>22.002542013839854</v>
      </c>
      <c r="L87" t="s">
        <v>64</v>
      </c>
      <c r="M87" s="2"/>
      <c r="N87" s="2">
        <v>1.18</v>
      </c>
      <c r="O87" s="2"/>
    </row>
    <row r="88" spans="1:15" x14ac:dyDescent="0.3">
      <c r="A88" s="2">
        <v>20</v>
      </c>
      <c r="B88" s="6">
        <f t="shared" si="3"/>
        <v>0.93969262078590843</v>
      </c>
      <c r="C88" s="6">
        <f t="shared" si="4"/>
        <v>0.34202014332566871</v>
      </c>
      <c r="D88" s="6">
        <f t="shared" si="5"/>
        <v>0.93969262078590843</v>
      </c>
      <c r="E88" s="6">
        <f t="shared" si="6"/>
        <v>0.34202014332566871</v>
      </c>
      <c r="F88" s="6">
        <f t="shared" si="7"/>
        <v>-0.34202014332566871</v>
      </c>
      <c r="G88" s="6">
        <f t="shared" si="8"/>
        <v>0.93969262078590843</v>
      </c>
      <c r="I88" s="2">
        <v>9.8000000000000004E-2</v>
      </c>
      <c r="J88" s="17">
        <v>1.35</v>
      </c>
      <c r="K88" s="16">
        <f t="shared" si="9"/>
        <v>13.775510204081632</v>
      </c>
      <c r="L88" t="s">
        <v>64</v>
      </c>
      <c r="M88" s="2"/>
      <c r="N88" s="2">
        <v>1.1399999999999999</v>
      </c>
      <c r="O88" s="2"/>
    </row>
    <row r="90" spans="1:15" x14ac:dyDescent="0.3">
      <c r="A90" s="15"/>
      <c r="B90" s="15"/>
    </row>
  </sheetData>
  <mergeCells count="9">
    <mergeCell ref="A10:L10"/>
    <mergeCell ref="D68:E68"/>
    <mergeCell ref="F68:G68"/>
    <mergeCell ref="A1:B1"/>
    <mergeCell ref="A4:F4"/>
    <mergeCell ref="A14:Q14"/>
    <mergeCell ref="A67:G67"/>
    <mergeCell ref="I68:K68"/>
    <mergeCell ref="M68:O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Nirbhay Dhakaan</dc:creator>
  <cp:lastModifiedBy>Nirbhay Dhakaan</cp:lastModifiedBy>
  <dcterms:created xsi:type="dcterms:W3CDTF">2026-04-24T15:35:02Z</dcterms:created>
  <dcterms:modified xsi:type="dcterms:W3CDTF">2026-06-23T05:36:16Z</dcterms:modified>
</cp:coreProperties>
</file>